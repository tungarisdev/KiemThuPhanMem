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VS Code\Project\KiemThuPhanMem\27_01\6_Test_Metrics\"/>
    </mc:Choice>
  </mc:AlternateContent>
  <xr:revisionPtr revIDLastSave="0" documentId="8_{E1F43FEF-C8AD-4FAE-8945-271DEF2F19C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trics Summary" sheetId="1" r:id="rId1"/>
    <sheet name="Charts Data" sheetId="2" r:id="rId2"/>
    <sheet name="Analysi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7" i="1" l="1"/>
  <c r="C37" i="1"/>
  <c r="D29" i="1"/>
  <c r="D28" i="1"/>
  <c r="D27" i="1"/>
  <c r="D16" i="1"/>
  <c r="C16" i="1"/>
  <c r="D9" i="1"/>
  <c r="C9" i="1"/>
</calcChain>
</file>

<file path=xl/sharedStrings.xml><?xml version="1.0" encoding="utf-8"?>
<sst xmlns="http://schemas.openxmlformats.org/spreadsheetml/2006/main" count="117" uniqueCount="78">
  <si>
    <t>TEST METRICS - E-COMMERCE WEBSITE</t>
  </si>
  <si>
    <t>Ngày báo cáo: 27/01/2026</t>
  </si>
  <si>
    <t>1. TEST EXECUTION RATE</t>
  </si>
  <si>
    <t>Chỉ số</t>
  </si>
  <si>
    <t>Giá trị</t>
  </si>
  <si>
    <t>Công thức</t>
  </si>
  <si>
    <t>Kết quả</t>
  </si>
  <si>
    <t>Total Test Cases</t>
  </si>
  <si>
    <t>45</t>
  </si>
  <si>
    <t>Test Cases Executed</t>
  </si>
  <si>
    <t>Test Cases Not Executed</t>
  </si>
  <si>
    <t>0</t>
  </si>
  <si>
    <t>Execution Rate</t>
  </si>
  <si>
    <t>100%</t>
  </si>
  <si>
    <t>2. TEST PASS RATE</t>
  </si>
  <si>
    <t>Test Cases Passed</t>
  </si>
  <si>
    <t>35</t>
  </si>
  <si>
    <t>Test Cases Failed</t>
  </si>
  <si>
    <t>10</t>
  </si>
  <si>
    <t>Pass Rate</t>
  </si>
  <si>
    <t>78%</t>
  </si>
  <si>
    <t>3. DEFECT DENSITY PER MODULE</t>
  </si>
  <si>
    <t>Module</t>
  </si>
  <si>
    <t>Total TC</t>
  </si>
  <si>
    <t>Bugs Found</t>
  </si>
  <si>
    <t>Defect Density</t>
  </si>
  <si>
    <t>Authentication</t>
  </si>
  <si>
    <t>15</t>
  </si>
  <si>
    <t>3</t>
  </si>
  <si>
    <t>0.20</t>
  </si>
  <si>
    <t>Product &amp; Cart</t>
  </si>
  <si>
    <t>20</t>
  </si>
  <si>
    <t>4</t>
  </si>
  <si>
    <t>Checkout</t>
  </si>
  <si>
    <t>0.30</t>
  </si>
  <si>
    <t>TOTAL</t>
  </si>
  <si>
    <t>0.22</t>
  </si>
  <si>
    <t>4. SEVERITY DISTRIBUTION</t>
  </si>
  <si>
    <t>Severity</t>
  </si>
  <si>
    <t>Count</t>
  </si>
  <si>
    <t>Percentage</t>
  </si>
  <si>
    <t>Critical</t>
  </si>
  <si>
    <t>2</t>
  </si>
  <si>
    <t>20%</t>
  </si>
  <si>
    <t>Major</t>
  </si>
  <si>
    <t>40%</t>
  </si>
  <si>
    <t>Minor</t>
  </si>
  <si>
    <t>5. REQUIREMENT COVERAGE</t>
  </si>
  <si>
    <t>Total Requirements</t>
  </si>
  <si>
    <t>16</t>
  </si>
  <si>
    <t>Requirements Covered</t>
  </si>
  <si>
    <t>Requirements Not Covered</t>
  </si>
  <si>
    <t>Coverage Rate</t>
  </si>
  <si>
    <t>Test Result Distribution</t>
  </si>
  <si>
    <t>Severity Distribution</t>
  </si>
  <si>
    <t>Test Results by Module</t>
  </si>
  <si>
    <t>Status</t>
  </si>
  <si>
    <t>Pass</t>
  </si>
  <si>
    <t>Fail</t>
  </si>
  <si>
    <t>PHÂN TÍCH CHI TIẾT TEST METRICS</t>
  </si>
  <si>
    <t>I. ĐÁNH GIÁ TỔNG QUAN</t>
  </si>
  <si>
    <t>Execution Rate: 100%</t>
  </si>
  <si>
    <t>Tất cả test cases đã được thực thi, không có blocked</t>
  </si>
  <si>
    <t>Pass Rate: 78%</t>
  </si>
  <si>
    <t>Chưa đạt mục tiêu 90%, cần cải thiện</t>
  </si>
  <si>
    <t>Coverage: 100%</t>
  </si>
  <si>
    <t>Đã cover đầy đủ 16 requirements</t>
  </si>
  <si>
    <t>Total Bugs: 10</t>
  </si>
  <si>
    <t>2 Critical, 4 Major, 4 Minor - Mức độ nghiêm trọng cao</t>
  </si>
  <si>
    <t>II. MODULE CÓ NHIỀU LỖI NHẤT</t>
  </si>
  <si>
    <t>Checkout (Defect Density: 0.30)</t>
  </si>
  <si>
    <t>Module này cần được review và fix ưu tiên</t>
  </si>
  <si>
    <t>III. KHUYẾN NGHỊ</t>
  </si>
  <si>
    <t>1. Fix ngay 2 bugs Critical về bảo mật</t>
  </si>
  <si>
    <t>2. Tăng cường test coverage cho edge cases</t>
  </si>
  <si>
    <t>3. Thêm validation cho các input fields</t>
  </si>
  <si>
    <t>4. Retest sau khi fix bugs</t>
  </si>
  <si>
    <t>5. Đạt Pass Rate ≥ 90% trước khi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</si>
</sst>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2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b/>
      <sz val="10"/>
      <color rgb="FFDC3545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C3545"/>
        <bgColor rgb="FFDC3545"/>
      </patternFill>
    </fill>
    <fill>
      <patternFill patternType="solid">
        <fgColor rgb="FFFFC107"/>
        <bgColor rgb="FFFFC107"/>
      </patternFill>
    </fill>
    <fill>
      <patternFill patternType="solid">
        <fgColor rgb="FF28A745"/>
        <bgColor rgb="FF28A7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6" fillId="0" borderId="0" xfId="0" applyFont="1"/>
    <xf numFmtId="0" fontId="5" fillId="0" borderId="0" xfId="0" applyFont="1"/>
    <xf numFmtId="0" fontId="8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19" workbookViewId="0">
      <selection activeCell="C44" sqref="C44"/>
    </sheetView>
  </sheetViews>
  <sheetFormatPr defaultRowHeight="14.4" x14ac:dyDescent="0.3"/>
  <cols>
    <col min="1" max="1" width="38.5546875" bestFit="1" customWidth="1"/>
    <col min="2" max="2" width="15" customWidth="1"/>
    <col min="3" max="3" width="30" customWidth="1"/>
    <col min="4" max="4" width="35" customWidth="1"/>
  </cols>
  <sheetData>
    <row r="1" spans="1:4" ht="17.399999999999999" x14ac:dyDescent="0.3">
      <c r="A1" s="12" t="s">
        <v>0</v>
      </c>
      <c r="B1" s="13"/>
      <c r="C1" s="13"/>
      <c r="D1" s="13"/>
    </row>
    <row r="2" spans="1:4" x14ac:dyDescent="0.3">
      <c r="A2" s="1" t="s">
        <v>1</v>
      </c>
    </row>
    <row r="4" spans="1:4" ht="15.6" x14ac:dyDescent="0.3">
      <c r="A4" s="2" t="s">
        <v>2</v>
      </c>
    </row>
    <row r="5" spans="1:4" x14ac:dyDescent="0.3">
      <c r="A5" s="3" t="s">
        <v>3</v>
      </c>
      <c r="B5" s="3" t="s">
        <v>4</v>
      </c>
      <c r="C5" s="3" t="s">
        <v>5</v>
      </c>
      <c r="D5" s="3" t="s">
        <v>6</v>
      </c>
    </row>
    <row r="6" spans="1:4" x14ac:dyDescent="0.3">
      <c r="A6" s="4" t="s">
        <v>7</v>
      </c>
      <c r="B6" s="4" t="s">
        <v>8</v>
      </c>
      <c r="C6" s="4"/>
      <c r="D6" s="4"/>
    </row>
    <row r="7" spans="1:4" x14ac:dyDescent="0.3">
      <c r="A7" s="4" t="s">
        <v>9</v>
      </c>
      <c r="B7" s="4" t="s">
        <v>8</v>
      </c>
      <c r="C7" s="4"/>
      <c r="D7" s="4"/>
    </row>
    <row r="8" spans="1:4" x14ac:dyDescent="0.3">
      <c r="A8" s="4" t="s">
        <v>10</v>
      </c>
      <c r="B8" s="4" t="s">
        <v>11</v>
      </c>
      <c r="C8" s="4"/>
      <c r="D8" s="4"/>
    </row>
    <row r="9" spans="1:4" x14ac:dyDescent="0.3">
      <c r="A9" s="4" t="s">
        <v>12</v>
      </c>
      <c r="B9" s="4" t="s">
        <v>13</v>
      </c>
      <c r="C9" s="4" t="e">
        <f>(Executed / Total) * 100%</f>
        <v>#NAME?</v>
      </c>
      <c r="D9" s="4" t="b">
        <f>(45/45) * 100% = 100%</f>
        <v>1</v>
      </c>
    </row>
    <row r="11" spans="1:4" ht="15.6" x14ac:dyDescent="0.3">
      <c r="A11" s="2" t="s">
        <v>14</v>
      </c>
    </row>
    <row r="12" spans="1:4" x14ac:dyDescent="0.3">
      <c r="A12" s="3" t="s">
        <v>3</v>
      </c>
      <c r="B12" s="3" t="s">
        <v>4</v>
      </c>
      <c r="C12" s="3" t="s">
        <v>5</v>
      </c>
      <c r="D12" s="3" t="s">
        <v>6</v>
      </c>
    </row>
    <row r="13" spans="1:4" x14ac:dyDescent="0.3">
      <c r="A13" s="4" t="s">
        <v>7</v>
      </c>
      <c r="B13" s="4" t="s">
        <v>8</v>
      </c>
      <c r="C13" s="4"/>
      <c r="D13" s="4"/>
    </row>
    <row r="14" spans="1:4" x14ac:dyDescent="0.3">
      <c r="A14" s="4" t="s">
        <v>15</v>
      </c>
      <c r="B14" s="4" t="s">
        <v>16</v>
      </c>
      <c r="C14" s="4"/>
      <c r="D14" s="4"/>
    </row>
    <row r="15" spans="1:4" x14ac:dyDescent="0.3">
      <c r="A15" s="4" t="s">
        <v>17</v>
      </c>
      <c r="B15" s="4" t="s">
        <v>18</v>
      </c>
      <c r="C15" s="4"/>
      <c r="D15" s="4"/>
    </row>
    <row r="16" spans="1:4" x14ac:dyDescent="0.3">
      <c r="A16" s="4" t="s">
        <v>19</v>
      </c>
      <c r="B16" s="4" t="s">
        <v>20</v>
      </c>
      <c r="C16" s="4" t="e">
        <f>(Passed / Total) * 100%</f>
        <v>#NAME?</v>
      </c>
      <c r="D16" s="4" t="b">
        <f>(35/45) * 100% = 78%</f>
        <v>0</v>
      </c>
    </row>
    <row r="18" spans="1:5" ht="15.6" x14ac:dyDescent="0.3">
      <c r="A18" s="2" t="s">
        <v>21</v>
      </c>
    </row>
    <row r="19" spans="1:5" ht="27.6" x14ac:dyDescent="0.3">
      <c r="A19" s="3" t="s">
        <v>22</v>
      </c>
      <c r="B19" s="3" t="s">
        <v>23</v>
      </c>
      <c r="C19" s="3" t="s">
        <v>24</v>
      </c>
      <c r="D19" s="3" t="s">
        <v>25</v>
      </c>
      <c r="E19" s="3" t="s">
        <v>5</v>
      </c>
    </row>
    <row r="20" spans="1:5" x14ac:dyDescent="0.3">
      <c r="A20" s="4" t="s">
        <v>26</v>
      </c>
      <c r="B20" s="4" t="s">
        <v>27</v>
      </c>
      <c r="C20" s="4" t="s">
        <v>28</v>
      </c>
      <c r="D20" s="4" t="s">
        <v>29</v>
      </c>
      <c r="E20" s="4"/>
    </row>
    <row r="21" spans="1:5" x14ac:dyDescent="0.3">
      <c r="A21" s="4" t="s">
        <v>30</v>
      </c>
      <c r="B21" s="4" t="s">
        <v>31</v>
      </c>
      <c r="C21" s="4" t="s">
        <v>32</v>
      </c>
      <c r="D21" s="4" t="s">
        <v>29</v>
      </c>
      <c r="E21" s="4"/>
    </row>
    <row r="22" spans="1:5" x14ac:dyDescent="0.3">
      <c r="A22" s="4" t="s">
        <v>33</v>
      </c>
      <c r="B22" s="4" t="s">
        <v>18</v>
      </c>
      <c r="C22" s="4" t="s">
        <v>28</v>
      </c>
      <c r="D22" s="4" t="s">
        <v>34</v>
      </c>
      <c r="E22" s="4"/>
    </row>
    <row r="23" spans="1:5" x14ac:dyDescent="0.3">
      <c r="A23" s="5" t="s">
        <v>35</v>
      </c>
      <c r="B23" s="5" t="s">
        <v>8</v>
      </c>
      <c r="C23" s="5" t="s">
        <v>18</v>
      </c>
      <c r="D23" s="5" t="s">
        <v>36</v>
      </c>
      <c r="E23" s="5"/>
    </row>
    <row r="25" spans="1:5" ht="15.6" x14ac:dyDescent="0.3">
      <c r="A25" s="2" t="s">
        <v>37</v>
      </c>
    </row>
    <row r="26" spans="1:5" x14ac:dyDescent="0.3">
      <c r="A26" s="3" t="s">
        <v>38</v>
      </c>
      <c r="B26" s="3" t="s">
        <v>39</v>
      </c>
      <c r="C26" s="3" t="s">
        <v>40</v>
      </c>
      <c r="D26" s="3" t="s">
        <v>5</v>
      </c>
    </row>
    <row r="27" spans="1:5" x14ac:dyDescent="0.3">
      <c r="A27" s="6" t="s">
        <v>41</v>
      </c>
      <c r="B27" s="4" t="s">
        <v>42</v>
      </c>
      <c r="C27" s="4" t="s">
        <v>43</v>
      </c>
      <c r="D27" s="4" t="b">
        <f>(2/10) * 100% = 20%</f>
        <v>1</v>
      </c>
    </row>
    <row r="28" spans="1:5" x14ac:dyDescent="0.3">
      <c r="A28" s="7" t="s">
        <v>44</v>
      </c>
      <c r="B28" s="4" t="s">
        <v>32</v>
      </c>
      <c r="C28" s="4" t="s">
        <v>45</v>
      </c>
      <c r="D28" s="4" t="b">
        <f>(4/10) * 100% = 40%</f>
        <v>1</v>
      </c>
    </row>
    <row r="29" spans="1:5" x14ac:dyDescent="0.3">
      <c r="A29" s="8" t="s">
        <v>46</v>
      </c>
      <c r="B29" s="4" t="s">
        <v>32</v>
      </c>
      <c r="C29" s="4" t="s">
        <v>45</v>
      </c>
      <c r="D29" s="4" t="b">
        <f>(4/10) * 100% = 40%</f>
        <v>1</v>
      </c>
    </row>
    <row r="30" spans="1:5" x14ac:dyDescent="0.3">
      <c r="A30" s="5" t="s">
        <v>35</v>
      </c>
      <c r="B30" s="5" t="s">
        <v>18</v>
      </c>
      <c r="C30" s="5" t="s">
        <v>13</v>
      </c>
      <c r="D30" s="5"/>
    </row>
    <row r="32" spans="1:5" ht="15.6" x14ac:dyDescent="0.3">
      <c r="A32" s="2" t="s">
        <v>47</v>
      </c>
    </row>
    <row r="33" spans="1:4" x14ac:dyDescent="0.3">
      <c r="A33" s="3" t="s">
        <v>3</v>
      </c>
      <c r="B33" s="3" t="s">
        <v>4</v>
      </c>
      <c r="C33" s="3" t="s">
        <v>5</v>
      </c>
      <c r="D33" s="3" t="s">
        <v>6</v>
      </c>
    </row>
    <row r="34" spans="1:4" x14ac:dyDescent="0.3">
      <c r="A34" s="4" t="s">
        <v>48</v>
      </c>
      <c r="B34" s="4" t="s">
        <v>49</v>
      </c>
      <c r="C34" s="4"/>
      <c r="D34" s="4"/>
    </row>
    <row r="35" spans="1:4" x14ac:dyDescent="0.3">
      <c r="A35" s="4" t="s">
        <v>50</v>
      </c>
      <c r="B35" s="4" t="s">
        <v>49</v>
      </c>
      <c r="C35" s="4"/>
      <c r="D35" s="4"/>
    </row>
    <row r="36" spans="1:4" x14ac:dyDescent="0.3">
      <c r="A36" s="4" t="s">
        <v>51</v>
      </c>
      <c r="B36" s="4" t="s">
        <v>11</v>
      </c>
      <c r="C36" s="4"/>
      <c r="D36" s="4"/>
    </row>
    <row r="37" spans="1:4" x14ac:dyDescent="0.3">
      <c r="A37" s="4" t="s">
        <v>52</v>
      </c>
      <c r="B37" s="4" t="s">
        <v>13</v>
      </c>
      <c r="C37" s="4" t="e">
        <f>(Covered / Total) * 100%</f>
        <v>#NAME?</v>
      </c>
      <c r="D37" s="4" t="b">
        <f>(16/16) * 100% = 100%</f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"/>
  <sheetViews>
    <sheetView workbookViewId="0">
      <selection activeCell="C8" sqref="C8"/>
    </sheetView>
  </sheetViews>
  <sheetFormatPr defaultRowHeight="14.4" x14ac:dyDescent="0.3"/>
  <cols>
    <col min="1" max="1" width="26.33203125" bestFit="1" customWidth="1"/>
  </cols>
  <sheetData>
    <row r="1" spans="1:9" ht="15.6" x14ac:dyDescent="0.3">
      <c r="A1" s="2" t="s">
        <v>53</v>
      </c>
      <c r="D1" s="2" t="s">
        <v>54</v>
      </c>
      <c r="G1" s="2" t="s">
        <v>55</v>
      </c>
    </row>
    <row r="2" spans="1:9" x14ac:dyDescent="0.3">
      <c r="A2" t="s">
        <v>56</v>
      </c>
      <c r="B2" t="s">
        <v>39</v>
      </c>
      <c r="D2" t="s">
        <v>38</v>
      </c>
      <c r="E2" t="s">
        <v>39</v>
      </c>
      <c r="G2" t="s">
        <v>22</v>
      </c>
      <c r="H2" t="s">
        <v>57</v>
      </c>
      <c r="I2" t="s">
        <v>58</v>
      </c>
    </row>
    <row r="3" spans="1:9" x14ac:dyDescent="0.3">
      <c r="A3" t="s">
        <v>57</v>
      </c>
      <c r="B3">
        <v>35</v>
      </c>
      <c r="D3" t="s">
        <v>41</v>
      </c>
      <c r="E3">
        <v>2</v>
      </c>
      <c r="G3" t="s">
        <v>26</v>
      </c>
      <c r="H3">
        <v>12</v>
      </c>
      <c r="I3">
        <v>3</v>
      </c>
    </row>
    <row r="4" spans="1:9" x14ac:dyDescent="0.3">
      <c r="A4" t="s">
        <v>58</v>
      </c>
      <c r="B4">
        <v>10</v>
      </c>
      <c r="D4" t="s">
        <v>44</v>
      </c>
      <c r="E4">
        <v>4</v>
      </c>
      <c r="G4" t="s">
        <v>30</v>
      </c>
      <c r="H4">
        <v>16</v>
      </c>
      <c r="I4">
        <v>4</v>
      </c>
    </row>
    <row r="5" spans="1:9" x14ac:dyDescent="0.3">
      <c r="D5" t="s">
        <v>46</v>
      </c>
      <c r="E5">
        <v>4</v>
      </c>
      <c r="G5" t="s">
        <v>33</v>
      </c>
      <c r="H5">
        <v>7</v>
      </c>
      <c r="I5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B19" sqref="B19"/>
    </sheetView>
  </sheetViews>
  <sheetFormatPr defaultRowHeight="14.4" x14ac:dyDescent="0.3"/>
  <cols>
    <col min="1" max="1" width="38.6640625" bestFit="1" customWidth="1"/>
    <col min="2" max="2" width="45" customWidth="1"/>
  </cols>
  <sheetData>
    <row r="1" spans="1:4" ht="17.399999999999999" x14ac:dyDescent="0.3">
      <c r="A1" s="14" t="s">
        <v>59</v>
      </c>
      <c r="B1" s="13"/>
      <c r="C1" s="13"/>
      <c r="D1" s="13"/>
    </row>
    <row r="3" spans="1:4" ht="15.6" x14ac:dyDescent="0.3">
      <c r="A3" s="2" t="s">
        <v>60</v>
      </c>
    </row>
    <row r="4" spans="1:4" x14ac:dyDescent="0.3">
      <c r="A4" s="9" t="s">
        <v>61</v>
      </c>
      <c r="B4" s="10" t="s">
        <v>62</v>
      </c>
    </row>
    <row r="5" spans="1:4" x14ac:dyDescent="0.3">
      <c r="A5" s="9" t="s">
        <v>63</v>
      </c>
      <c r="B5" s="10" t="s">
        <v>64</v>
      </c>
    </row>
    <row r="6" spans="1:4" x14ac:dyDescent="0.3">
      <c r="A6" s="9" t="s">
        <v>65</v>
      </c>
      <c r="B6" s="10" t="s">
        <v>66</v>
      </c>
    </row>
    <row r="7" spans="1:4" x14ac:dyDescent="0.3">
      <c r="A7" s="9" t="s">
        <v>67</v>
      </c>
      <c r="B7" s="10" t="s">
        <v>68</v>
      </c>
    </row>
    <row r="9" spans="1:4" ht="15.6" x14ac:dyDescent="0.3">
      <c r="A9" s="2" t="s">
        <v>69</v>
      </c>
    </row>
    <row r="10" spans="1:4" x14ac:dyDescent="0.3">
      <c r="A10" s="11" t="s">
        <v>70</v>
      </c>
    </row>
    <row r="11" spans="1:4" x14ac:dyDescent="0.3">
      <c r="A11" t="s">
        <v>71</v>
      </c>
    </row>
    <row r="13" spans="1:4" ht="15.6" x14ac:dyDescent="0.3">
      <c r="A13" s="2" t="s">
        <v>72</v>
      </c>
    </row>
    <row r="14" spans="1:4" x14ac:dyDescent="0.3">
      <c r="A14" s="10" t="s">
        <v>73</v>
      </c>
    </row>
    <row r="15" spans="1:4" x14ac:dyDescent="0.3">
      <c r="A15" s="10" t="s">
        <v>74</v>
      </c>
    </row>
    <row r="16" spans="1:4" x14ac:dyDescent="0.3">
      <c r="A16" s="10" t="s">
        <v>75</v>
      </c>
    </row>
    <row r="17" spans="1:1" x14ac:dyDescent="0.3">
      <c r="A17" s="10" t="s">
        <v>76</v>
      </c>
    </row>
    <row r="18" spans="1:1" x14ac:dyDescent="0.3">
      <c r="A18" s="10" t="s">
        <v>77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 Summary</vt:lpstr>
      <vt:lpstr>Charts Data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Tùng Aris</cp:lastModifiedBy>
  <dcterms:created xsi:type="dcterms:W3CDTF">2026-01-27T02:36:18Z</dcterms:created>
  <dcterms:modified xsi:type="dcterms:W3CDTF">2026-01-27T02:55:20Z</dcterms:modified>
</cp:coreProperties>
</file>